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YAR\absolute\desktop\modules\juegos\matematicas\"/>
    </mc:Choice>
  </mc:AlternateContent>
  <xr:revisionPtr revIDLastSave="0" documentId="13_ncr:1_{491EA0FE-A1E7-4AE7-A503-52EE4417A482}" xr6:coauthVersionLast="47" xr6:coauthVersionMax="47" xr10:uidLastSave="{00000000-0000-0000-0000-000000000000}"/>
  <bookViews>
    <workbookView xWindow="-120" yWindow="-120" windowWidth="29040" windowHeight="15720" xr2:uid="{E2E89CCB-632B-4D37-B12E-0B1F4A311440}"/>
  </bookViews>
  <sheets>
    <sheet name="Base T.Truss" sheetId="1" r:id="rId1"/>
  </sheets>
  <externalReferences>
    <externalReference r:id="rId2"/>
    <externalReference r:id="rId3"/>
  </externalReferences>
  <definedNames>
    <definedName name="Asistencia" localSheetId="0">[1]!Tabla24[#Data]</definedName>
    <definedName name="Asistencia">[2]!Tabla24[#Data]</definedName>
    <definedName name="Tabla_Asistencia" localSheetId="0">[1]!Tabla24[#Data]</definedName>
    <definedName name="Tabla_Asistencia">[2]!Tabla24[#Data]</definedName>
    <definedName name="TablaAsistecia" localSheetId="0">[1]!Tabla24[#Data]</definedName>
    <definedName name="TablaAsistecia">[2]!Tabla24[#Data]</definedName>
    <definedName name="TablaAsistencia" localSheetId="0">[1]!Tabla24[#Data]</definedName>
    <definedName name="TablaAsistencia">[2]!Tabla24[#Data]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32" i="1"/>
  <c r="E31" i="1"/>
  <c r="L30" i="1"/>
  <c r="L31" i="1" s="1"/>
  <c r="L32" i="1" s="1"/>
  <c r="L33" i="1" s="1"/>
  <c r="L34" i="1" s="1"/>
  <c r="L35" i="1" s="1"/>
  <c r="L36" i="1" s="1"/>
  <c r="E30" i="1"/>
  <c r="R29" i="1"/>
  <c r="R30" i="1" s="1"/>
  <c r="R31" i="1" s="1"/>
  <c r="R32" i="1" s="1"/>
  <c r="R33" i="1" s="1"/>
  <c r="R34" i="1" s="1"/>
  <c r="R35" i="1" s="1"/>
  <c r="R36" i="1" s="1"/>
  <c r="O29" i="1"/>
  <c r="O30" i="1" s="1"/>
  <c r="O31" i="1" s="1"/>
  <c r="O32" i="1" s="1"/>
  <c r="O33" i="1" s="1"/>
  <c r="O34" i="1" s="1"/>
  <c r="O35" i="1" s="1"/>
  <c r="O36" i="1" s="1"/>
  <c r="L29" i="1"/>
  <c r="K29" i="1"/>
  <c r="K30" i="1" s="1"/>
  <c r="K31" i="1" s="1"/>
  <c r="K32" i="1" s="1"/>
  <c r="K33" i="1" s="1"/>
  <c r="K34" i="1" s="1"/>
  <c r="K35" i="1" s="1"/>
  <c r="K36" i="1" s="1"/>
  <c r="E29" i="1"/>
  <c r="X28" i="1"/>
  <c r="X29" i="1" s="1"/>
  <c r="X30" i="1" s="1"/>
  <c r="X31" i="1" s="1"/>
  <c r="X32" i="1" s="1"/>
  <c r="X33" i="1" s="1"/>
  <c r="X34" i="1" s="1"/>
  <c r="X35" i="1" s="1"/>
  <c r="X36" i="1" s="1"/>
  <c r="V28" i="1"/>
  <c r="V29" i="1" s="1"/>
  <c r="V30" i="1" s="1"/>
  <c r="V31" i="1" s="1"/>
  <c r="V32" i="1" s="1"/>
  <c r="V33" i="1" s="1"/>
  <c r="V34" i="1" s="1"/>
  <c r="V35" i="1" s="1"/>
  <c r="V36" i="1" s="1"/>
  <c r="T28" i="1"/>
  <c r="T29" i="1" s="1"/>
  <c r="T30" i="1" s="1"/>
  <c r="T31" i="1" s="1"/>
  <c r="T32" i="1" s="1"/>
  <c r="T33" i="1" s="1"/>
  <c r="T34" i="1" s="1"/>
  <c r="T35" i="1" s="1"/>
  <c r="T36" i="1" s="1"/>
  <c r="S28" i="1"/>
  <c r="S29" i="1" s="1"/>
  <c r="S30" i="1" s="1"/>
  <c r="S31" i="1" s="1"/>
  <c r="S32" i="1" s="1"/>
  <c r="S33" i="1" s="1"/>
  <c r="S34" i="1" s="1"/>
  <c r="S35" i="1" s="1"/>
  <c r="S36" i="1" s="1"/>
  <c r="R28" i="1"/>
  <c r="Q28" i="1"/>
  <c r="Q29" i="1" s="1"/>
  <c r="Q30" i="1" s="1"/>
  <c r="Q31" i="1" s="1"/>
  <c r="Q32" i="1" s="1"/>
  <c r="Q33" i="1" s="1"/>
  <c r="Q34" i="1" s="1"/>
  <c r="Q35" i="1" s="1"/>
  <c r="Q36" i="1" s="1"/>
  <c r="P28" i="1"/>
  <c r="P29" i="1" s="1"/>
  <c r="O28" i="1"/>
  <c r="J28" i="1"/>
  <c r="J29" i="1" s="1"/>
  <c r="J30" i="1" s="1"/>
  <c r="J31" i="1" s="1"/>
  <c r="J32" i="1" s="1"/>
  <c r="J33" i="1" s="1"/>
  <c r="J34" i="1" s="1"/>
  <c r="J35" i="1" s="1"/>
  <c r="J36" i="1" s="1"/>
  <c r="E28" i="1"/>
  <c r="W27" i="1"/>
  <c r="E27" i="1"/>
  <c r="E26" i="1"/>
  <c r="E25" i="1"/>
  <c r="E24" i="1"/>
  <c r="E23" i="1"/>
  <c r="E22" i="1"/>
  <c r="E21" i="1"/>
  <c r="E20" i="1"/>
  <c r="E19" i="1"/>
  <c r="V18" i="1"/>
  <c r="V19" i="1" s="1"/>
  <c r="V20" i="1" s="1"/>
  <c r="V21" i="1" s="1"/>
  <c r="V22" i="1" s="1"/>
  <c r="V23" i="1" s="1"/>
  <c r="V24" i="1" s="1"/>
  <c r="V25" i="1" s="1"/>
  <c r="V26" i="1" s="1"/>
  <c r="T18" i="1"/>
  <c r="T19" i="1" s="1"/>
  <c r="T20" i="1" s="1"/>
  <c r="T21" i="1" s="1"/>
  <c r="T22" i="1" s="1"/>
  <c r="T23" i="1" s="1"/>
  <c r="T24" i="1" s="1"/>
  <c r="T25" i="1" s="1"/>
  <c r="T26" i="1" s="1"/>
  <c r="S18" i="1"/>
  <c r="S19" i="1" s="1"/>
  <c r="S20" i="1" s="1"/>
  <c r="S21" i="1" s="1"/>
  <c r="S22" i="1" s="1"/>
  <c r="S23" i="1" s="1"/>
  <c r="S24" i="1" s="1"/>
  <c r="S25" i="1" s="1"/>
  <c r="S26" i="1" s="1"/>
  <c r="R18" i="1"/>
  <c r="R19" i="1" s="1"/>
  <c r="R20" i="1" s="1"/>
  <c r="R21" i="1" s="1"/>
  <c r="R22" i="1" s="1"/>
  <c r="R23" i="1" s="1"/>
  <c r="R24" i="1" s="1"/>
  <c r="R25" i="1" s="1"/>
  <c r="R26" i="1" s="1"/>
  <c r="Q18" i="1"/>
  <c r="Q19" i="1" s="1"/>
  <c r="Q20" i="1" s="1"/>
  <c r="Q21" i="1" s="1"/>
  <c r="Q22" i="1" s="1"/>
  <c r="Q23" i="1" s="1"/>
  <c r="Q24" i="1" s="1"/>
  <c r="Q25" i="1" s="1"/>
  <c r="Q26" i="1" s="1"/>
  <c r="P18" i="1"/>
  <c r="P19" i="1" s="1"/>
  <c r="N18" i="1"/>
  <c r="N19" i="1" s="1"/>
  <c r="N20" i="1" s="1"/>
  <c r="N21" i="1" s="1"/>
  <c r="N22" i="1" s="1"/>
  <c r="N23" i="1" s="1"/>
  <c r="N24" i="1" s="1"/>
  <c r="N25" i="1" s="1"/>
  <c r="N26" i="1" s="1"/>
  <c r="M18" i="1"/>
  <c r="M19" i="1" s="1"/>
  <c r="M20" i="1" s="1"/>
  <c r="M21" i="1" s="1"/>
  <c r="M22" i="1" s="1"/>
  <c r="M23" i="1" s="1"/>
  <c r="M24" i="1" s="1"/>
  <c r="M25" i="1" s="1"/>
  <c r="M26" i="1" s="1"/>
  <c r="L18" i="1"/>
  <c r="L19" i="1" s="1"/>
  <c r="L20" i="1" s="1"/>
  <c r="L21" i="1" s="1"/>
  <c r="L22" i="1" s="1"/>
  <c r="L23" i="1" s="1"/>
  <c r="L24" i="1" s="1"/>
  <c r="L25" i="1" s="1"/>
  <c r="L26" i="1" s="1"/>
  <c r="K18" i="1"/>
  <c r="K19" i="1" s="1"/>
  <c r="K20" i="1" s="1"/>
  <c r="K21" i="1" s="1"/>
  <c r="K22" i="1" s="1"/>
  <c r="K23" i="1" s="1"/>
  <c r="K24" i="1" s="1"/>
  <c r="K25" i="1" s="1"/>
  <c r="K26" i="1" s="1"/>
  <c r="E18" i="1"/>
  <c r="W17" i="1"/>
  <c r="E17" i="1"/>
  <c r="E16" i="1"/>
  <c r="E15" i="1"/>
  <c r="E14" i="1"/>
  <c r="E13" i="1"/>
  <c r="E12" i="1"/>
  <c r="E11" i="1"/>
  <c r="E10" i="1"/>
  <c r="T9" i="1"/>
  <c r="T10" i="1" s="1"/>
  <c r="T11" i="1" s="1"/>
  <c r="T12" i="1" s="1"/>
  <c r="T13" i="1" s="1"/>
  <c r="T14" i="1" s="1"/>
  <c r="T15" i="1" s="1"/>
  <c r="T16" i="1" s="1"/>
  <c r="I9" i="1"/>
  <c r="I10" i="1" s="1"/>
  <c r="I11" i="1" s="1"/>
  <c r="I12" i="1" s="1"/>
  <c r="I13" i="1" s="1"/>
  <c r="I14" i="1" s="1"/>
  <c r="I15" i="1" s="1"/>
  <c r="I16" i="1" s="1"/>
  <c r="G9" i="1"/>
  <c r="G10" i="1" s="1"/>
  <c r="G11" i="1" s="1"/>
  <c r="G12" i="1" s="1"/>
  <c r="G13" i="1" s="1"/>
  <c r="G14" i="1" s="1"/>
  <c r="G15" i="1" s="1"/>
  <c r="G16" i="1" s="1"/>
  <c r="E9" i="1"/>
  <c r="V8" i="1"/>
  <c r="V9" i="1" s="1"/>
  <c r="V10" i="1" s="1"/>
  <c r="V11" i="1" s="1"/>
  <c r="V12" i="1" s="1"/>
  <c r="V13" i="1" s="1"/>
  <c r="V14" i="1" s="1"/>
  <c r="V15" i="1" s="1"/>
  <c r="V16" i="1" s="1"/>
  <c r="T8" i="1"/>
  <c r="S8" i="1"/>
  <c r="S9" i="1" s="1"/>
  <c r="S10" i="1" s="1"/>
  <c r="S11" i="1" s="1"/>
  <c r="S12" i="1" s="1"/>
  <c r="S13" i="1" s="1"/>
  <c r="S14" i="1" s="1"/>
  <c r="S15" i="1" s="1"/>
  <c r="S16" i="1" s="1"/>
  <c r="R8" i="1"/>
  <c r="R9" i="1" s="1"/>
  <c r="R10" i="1" s="1"/>
  <c r="R11" i="1" s="1"/>
  <c r="R12" i="1" s="1"/>
  <c r="R13" i="1" s="1"/>
  <c r="R14" i="1" s="1"/>
  <c r="R15" i="1" s="1"/>
  <c r="R16" i="1" s="1"/>
  <c r="Q8" i="1"/>
  <c r="Q9" i="1" s="1"/>
  <c r="Q10" i="1" s="1"/>
  <c r="Q11" i="1" s="1"/>
  <c r="Q12" i="1" s="1"/>
  <c r="Q13" i="1" s="1"/>
  <c r="Q14" i="1" s="1"/>
  <c r="Q15" i="1" s="1"/>
  <c r="Q16" i="1" s="1"/>
  <c r="P8" i="1"/>
  <c r="W8" i="1" s="1"/>
  <c r="O8" i="1"/>
  <c r="O9" i="1" s="1"/>
  <c r="O10" i="1" s="1"/>
  <c r="O11" i="1" s="1"/>
  <c r="O12" i="1" s="1"/>
  <c r="O13" i="1" s="1"/>
  <c r="O14" i="1" s="1"/>
  <c r="O15" i="1" s="1"/>
  <c r="O16" i="1" s="1"/>
  <c r="K8" i="1"/>
  <c r="K9" i="1" s="1"/>
  <c r="K10" i="1" s="1"/>
  <c r="K11" i="1" s="1"/>
  <c r="K12" i="1" s="1"/>
  <c r="K13" i="1" s="1"/>
  <c r="K14" i="1" s="1"/>
  <c r="K15" i="1" s="1"/>
  <c r="K16" i="1" s="1"/>
  <c r="I8" i="1"/>
  <c r="H8" i="1"/>
  <c r="H9" i="1" s="1"/>
  <c r="H10" i="1" s="1"/>
  <c r="H11" i="1" s="1"/>
  <c r="H12" i="1" s="1"/>
  <c r="H13" i="1" s="1"/>
  <c r="H14" i="1" s="1"/>
  <c r="H15" i="1" s="1"/>
  <c r="H16" i="1" s="1"/>
  <c r="G8" i="1"/>
  <c r="E8" i="1"/>
  <c r="W7" i="1"/>
  <c r="E7" i="1"/>
  <c r="P30" i="1" l="1"/>
  <c r="W29" i="1"/>
  <c r="P20" i="1"/>
  <c r="W19" i="1"/>
  <c r="P9" i="1"/>
  <c r="W18" i="1"/>
  <c r="W28" i="1"/>
  <c r="W9" i="1" l="1"/>
  <c r="P10" i="1"/>
  <c r="P21" i="1"/>
  <c r="W20" i="1"/>
  <c r="P31" i="1"/>
  <c r="W30" i="1"/>
  <c r="W31" i="1" l="1"/>
  <c r="P32" i="1"/>
  <c r="P22" i="1"/>
  <c r="W21" i="1"/>
  <c r="W10" i="1"/>
  <c r="P11" i="1"/>
  <c r="W11" i="1" l="1"/>
  <c r="P12" i="1"/>
  <c r="P23" i="1"/>
  <c r="W22" i="1"/>
  <c r="W32" i="1"/>
  <c r="P33" i="1"/>
  <c r="W33" i="1" l="1"/>
  <c r="P34" i="1"/>
  <c r="P24" i="1"/>
  <c r="W23" i="1"/>
  <c r="W12" i="1"/>
  <c r="P13" i="1"/>
  <c r="W13" i="1" l="1"/>
  <c r="P14" i="1"/>
  <c r="P25" i="1"/>
  <c r="W24" i="1"/>
  <c r="W34" i="1"/>
  <c r="P35" i="1"/>
  <c r="W14" i="1" l="1"/>
  <c r="P15" i="1"/>
  <c r="W35" i="1"/>
  <c r="P36" i="1"/>
  <c r="W36" i="1" s="1"/>
  <c r="P26" i="1"/>
  <c r="W26" i="1" s="1"/>
  <c r="W25" i="1"/>
  <c r="P16" i="1" l="1"/>
  <c r="W16" i="1" s="1"/>
  <c r="W15" i="1"/>
</calcChain>
</file>

<file path=xl/sharedStrings.xml><?xml version="1.0" encoding="utf-8"?>
<sst xmlns="http://schemas.openxmlformats.org/spreadsheetml/2006/main" count="84" uniqueCount="28">
  <si>
    <t>Ancho</t>
  </si>
  <si>
    <t>Columna1</t>
  </si>
  <si>
    <t>Largo</t>
  </si>
  <si>
    <t>Medidas</t>
  </si>
  <si>
    <t>Lona 10x10</t>
  </si>
  <si>
    <t>Truss Ancha 6 mts</t>
  </si>
  <si>
    <t>Truss Ancha 3 mts</t>
  </si>
  <si>
    <t>Dados 50x50</t>
  </si>
  <si>
    <t>Dados de 45x45</t>
  </si>
  <si>
    <t>Truss delgadas 6 mts</t>
  </si>
  <si>
    <t>Truss delgadas 3 mts</t>
  </si>
  <si>
    <t>Dados 30x30</t>
  </si>
  <si>
    <t>Truss de 1 Metro</t>
  </si>
  <si>
    <t>Ruff/ Caballete</t>
  </si>
  <si>
    <t>Esquineros</t>
  </si>
  <si>
    <t>Caidas</t>
  </si>
  <si>
    <t>Pernos 24</t>
  </si>
  <si>
    <t>Pernos 19</t>
  </si>
  <si>
    <t>Mecates</t>
  </si>
  <si>
    <t>Culatas</t>
  </si>
  <si>
    <t>Cruzados</t>
  </si>
  <si>
    <t>Bridas Tipo U</t>
  </si>
  <si>
    <t>Plancheta</t>
  </si>
  <si>
    <t>x</t>
  </si>
  <si>
    <t>Dado Corredizo 50</t>
  </si>
  <si>
    <t>Dado Fijo</t>
  </si>
  <si>
    <t>Dado Corredizo 45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</si>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</sst>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29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YAR\Documents\Absolute\Receta%202025-7.xlsm" TargetMode="External"/><Relationship Id="rId1" Type="http://schemas.openxmlformats.org/officeDocument/2006/relationships/externalLinkPath" Target="/Users/BAYAR/Documents/Absolute/Receta%202025-7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YAR\Documents\Absolute\Receta%202025-6.xlsm" TargetMode="External"/><Relationship Id="rId1" Type="http://schemas.openxmlformats.org/officeDocument/2006/relationships/externalLinkPath" Target="/Users/BAYAR/Documents/Absolute/Receta%202025-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Graderia"/>
      <sheetName val="Tarima"/>
      <sheetName val="Hoja8"/>
      <sheetName val="Sin Baranda"/>
      <sheetName val="Con Baranda"/>
      <sheetName val="Base Techos"/>
      <sheetName val="Menu"/>
      <sheetName val="Hoja12"/>
      <sheetName val="BDPersonal"/>
      <sheetName val="Hoja2"/>
      <sheetName val="BDAsistencia"/>
      <sheetName val="BDEventos"/>
      <sheetName val="RPlanilla"/>
      <sheetName val="BDClientes"/>
      <sheetName val="Receta 2025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Graderia"/>
      <sheetName val="Tarima"/>
      <sheetName val="Hoja8"/>
      <sheetName val="Sin Baranda"/>
      <sheetName val="Con Baranda"/>
      <sheetName val="Base Techos"/>
      <sheetName val="Menu"/>
      <sheetName val="Hoja12"/>
      <sheetName val="BDPersonal"/>
      <sheetName val="Hoja2"/>
      <sheetName val="BDAsistencia"/>
      <sheetName val="BDEventos"/>
      <sheetName val="RPlanilla"/>
      <sheetName val="BDClientes"/>
      <sheetName val="Receta 2025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BE4D7-A37D-450F-8241-C99D90E171DD}" name="Tabla3" displayName="Tabla3" ref="A6:X36" totalsRowShown="0" headerRowDxfId="28" dataDxfId="27" headerRowBorderDxfId="25" tableBorderDxfId="26" totalsRowBorderDxfId="24">
  <autoFilter ref="A6:X36" xr:uid="{99D486CC-797C-4A3C-9213-10CB60224657}"/>
  <tableColumns count="24">
    <tableColumn id="1" xr3:uid="{F9ACB69F-D04C-4E5E-AA93-916AD4654AFD}" name="Ancho" dataDxfId="23"/>
    <tableColumn id="2" xr3:uid="{02BEE368-09A5-42F6-BF84-46762EF72FCA}" name="Columna1" dataDxfId="22"/>
    <tableColumn id="3" xr3:uid="{37DF6139-7658-48BC-8A64-EF709722D0F4}" name="Largo" dataDxfId="21"/>
    <tableColumn id="4" xr3:uid="{46C30FBE-0142-45D5-BFC9-DF9A4FADF462}" name="Tipo" dataDxfId="20"/>
    <tableColumn id="5" xr3:uid="{073A9E13-A53F-47C3-B8B8-5FFC9097211D}" name="Medidas" dataDxfId="19">
      <calculatedColumnFormula>+CONCATENATE(A7,B7,C7," ",D7)</calculatedColumnFormula>
    </tableColumn>
    <tableColumn id="6" xr3:uid="{0C52307D-B1D0-4E92-A4B2-CB55753E50B4}" name="Lona 10x10" dataDxfId="18"/>
    <tableColumn id="7" xr3:uid="{B6F80FB3-BDA7-49FF-9CF3-B78AFB2DC78D}" name="Truss Ancha 6 mts" dataDxfId="17">
      <calculatedColumnFormula>+G6+3</calculatedColumnFormula>
    </tableColumn>
    <tableColumn id="8" xr3:uid="{966CCC66-76EA-41D5-A9FF-97C80DA72879}" name="Truss Ancha 3 mts" dataDxfId="16">
      <calculatedColumnFormula>+H6+3</calculatedColumnFormula>
    </tableColumn>
    <tableColumn id="9" xr3:uid="{0B51D7F0-8C97-47B9-9266-6E862F9A341C}" name="Dados 50x50" dataDxfId="15">
      <calculatedColumnFormula>+I6+2</calculatedColumnFormula>
    </tableColumn>
    <tableColumn id="22" xr3:uid="{28E732BA-2C6E-424E-BEDA-0480B5B25E7B}" name="Dados de 45x45" dataDxfId="14"/>
    <tableColumn id="10" xr3:uid="{D3A3EC1C-3796-4CFF-B4F8-4451854FFBC6}" name="Truss delgadas 6 mts" dataDxfId="13">
      <calculatedColumnFormula>+K6+2</calculatedColumnFormula>
    </tableColumn>
    <tableColumn id="11" xr3:uid="{CBB59571-89D0-44F0-AE73-60614BB52E16}" name="Truss delgadas 3 mts" dataDxfId="12"/>
    <tableColumn id="12" xr3:uid="{53576F7B-3A45-46BD-8BCA-49B623D52C66}" name="Dados 30x30" dataDxfId="11"/>
    <tableColumn id="23" xr3:uid="{947485EB-5D8F-4055-9A9F-CA15CC94AF76}" name="Truss de 1 Metro" dataDxfId="10"/>
    <tableColumn id="13" xr3:uid="{053FC1C8-6D54-4C68-82FD-4BF7CBA7C791}" name="Ruff/ Caballete" dataDxfId="9">
      <calculatedColumnFormula>+O6+1</calculatedColumnFormula>
    </tableColumn>
    <tableColumn id="14" xr3:uid="{A54377C3-781F-4EA9-A756-2F91657C2037}" name="Esquineros" dataDxfId="8">
      <calculatedColumnFormula>+P6+2</calculatedColumnFormula>
    </tableColumn>
    <tableColumn id="15" xr3:uid="{363B5F5B-1257-413C-AFE7-5170867F4981}" name="Caidas" dataDxfId="7">
      <calculatedColumnFormula>+Q6+8</calculatedColumnFormula>
    </tableColumn>
    <tableColumn id="16" xr3:uid="{5D44614A-8588-42FA-8A67-9D60054D5A1E}" name="Pernos 24" dataDxfId="6">
      <calculatedColumnFormula>+R6+36</calculatedColumnFormula>
    </tableColumn>
    <tableColumn id="17" xr3:uid="{DD92B3EA-46F5-4BA8-9AEF-6A0DD82D0931}" name="Pernos 19" dataDxfId="5">
      <calculatedColumnFormula>+S6+8</calculatedColumnFormula>
    </tableColumn>
    <tableColumn id="18" xr3:uid="{D6405978-2424-4CFA-A7F7-8DA4444F7A8D}" name="Mecates" dataDxfId="4">
      <calculatedColumnFormula>+T6+6</calculatedColumnFormula>
    </tableColumn>
    <tableColumn id="19" xr3:uid="{DBC89392-24DA-42EA-9CD6-0D69B4AD9D71}" name="Culatas" dataDxfId="3"/>
    <tableColumn id="21" xr3:uid="{14546AF8-EEA5-46A8-9027-DA031E4583DB}" name="Cruzados" dataDxfId="2"/>
    <tableColumn id="24" xr3:uid="{87A78A40-5C5A-4ABA-A872-F9CEFF5F4DEC}" name="Bridas Tipo U" dataDxfId="1">
      <calculatedColumnFormula>+Tabla3[[#This Row],[Esquineros]]*2</calculatedColumnFormula>
    </tableColumn>
    <tableColumn id="20" xr3:uid="{C730A0D8-9604-46E5-B27F-00DDDE710E8F}" name="Plancheta" dataDxfId="0">
      <calculatedColumnFormula>+X6+2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007F-8C88-493B-8C17-731AF7EAB6CD}">
  <sheetPr codeName="Hoja3"/>
  <dimension ref="A6:Y36"/>
  <sheetViews>
    <sheetView tabSelected="1" workbookViewId="0">
      <selection activeCell="A6" sqref="A6:X7"/>
    </sheetView>
  </sheetViews>
  <sheetFormatPr baseColWidth="10" defaultColWidth="11" defaultRowHeight="15" x14ac:dyDescent="0.25"/>
  <cols>
    <col min="1" max="1" width="11.140625" customWidth="1"/>
    <col min="2" max="2" width="12.42578125" hidden="1" customWidth="1"/>
    <col min="3" max="4" width="12.42578125" customWidth="1"/>
    <col min="5" max="5" width="23.85546875" customWidth="1"/>
    <col min="6" max="6" width="13.140625" style="13" customWidth="1"/>
    <col min="7" max="8" width="19.140625" style="13" customWidth="1"/>
    <col min="9" max="10" width="14.42578125" style="13" customWidth="1"/>
    <col min="11" max="12" width="21.7109375" style="13" customWidth="1"/>
    <col min="13" max="13" width="14.42578125" style="13" customWidth="1"/>
    <col min="14" max="14" width="17" style="13" customWidth="1"/>
    <col min="15" max="15" width="13" style="13" customWidth="1"/>
    <col min="16" max="16" width="9.42578125" style="13" customWidth="1"/>
    <col min="17" max="18" width="11.85546875" style="13" customWidth="1"/>
    <col min="19" max="19" width="10.85546875" style="13" customWidth="1"/>
    <col min="20" max="21" width="10.140625" style="13" customWidth="1"/>
    <col min="22" max="23" width="12.28515625" customWidth="1"/>
  </cols>
  <sheetData>
    <row r="6" spans="1:25" ht="28.5" customHeight="1" x14ac:dyDescent="0.25">
      <c r="A6" s="1" t="s">
        <v>0</v>
      </c>
      <c r="B6" s="2" t="s">
        <v>1</v>
      </c>
      <c r="C6" s="2" t="s">
        <v>2</v>
      </c>
      <c r="D6" s="2" t="s">
        <v>27</v>
      </c>
      <c r="E6" s="2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4" t="s">
        <v>20</v>
      </c>
      <c r="W6" s="4" t="s">
        <v>21</v>
      </c>
      <c r="X6" s="4" t="s">
        <v>22</v>
      </c>
      <c r="Y6" s="5"/>
    </row>
    <row r="7" spans="1:25" ht="27.75" customHeight="1" x14ac:dyDescent="0.25">
      <c r="A7" s="6">
        <v>10</v>
      </c>
      <c r="B7" s="7" t="s">
        <v>23</v>
      </c>
      <c r="C7" s="7">
        <v>10</v>
      </c>
      <c r="D7" s="7" t="s">
        <v>24</v>
      </c>
      <c r="E7" s="8" t="str">
        <f>+CONCATENATE(A7,B7,C7," ",D7)</f>
        <v>10x10 Dado Corredizo 50</v>
      </c>
      <c r="F7" s="9">
        <v>1</v>
      </c>
      <c r="G7" s="9">
        <v>4</v>
      </c>
      <c r="H7" s="9">
        <v>4</v>
      </c>
      <c r="I7" s="9">
        <v>4</v>
      </c>
      <c r="J7" s="9"/>
      <c r="K7" s="9">
        <v>4</v>
      </c>
      <c r="L7" s="9"/>
      <c r="M7" s="9"/>
      <c r="N7" s="9"/>
      <c r="O7" s="9">
        <v>1</v>
      </c>
      <c r="P7" s="9">
        <v>4</v>
      </c>
      <c r="Q7" s="9">
        <v>18</v>
      </c>
      <c r="R7" s="9">
        <v>64</v>
      </c>
      <c r="S7" s="9">
        <v>8</v>
      </c>
      <c r="T7" s="9">
        <v>8</v>
      </c>
      <c r="U7" s="9">
        <v>2</v>
      </c>
      <c r="V7" s="10">
        <v>4</v>
      </c>
      <c r="W7" s="10">
        <f>+Tabla3[[#This Row],[Esquineros]]*2</f>
        <v>8</v>
      </c>
      <c r="X7" s="10"/>
    </row>
    <row r="8" spans="1:25" ht="27.75" customHeight="1" x14ac:dyDescent="0.25">
      <c r="A8" s="6">
        <v>10</v>
      </c>
      <c r="B8" s="7" t="s">
        <v>23</v>
      </c>
      <c r="C8" s="7">
        <v>20</v>
      </c>
      <c r="D8" s="7" t="s">
        <v>24</v>
      </c>
      <c r="E8" s="8" t="str">
        <f t="shared" ref="E8:E26" si="0">+CONCATENATE(A8,B8,C8," ",D8)</f>
        <v>10x20 Dado Corredizo 50</v>
      </c>
      <c r="F8" s="11">
        <v>2</v>
      </c>
      <c r="G8" s="11">
        <f>+G7+3</f>
        <v>7</v>
      </c>
      <c r="H8" s="11">
        <f>+H7+3</f>
        <v>7</v>
      </c>
      <c r="I8" s="11">
        <f>+I7+2</f>
        <v>6</v>
      </c>
      <c r="J8" s="11"/>
      <c r="K8" s="11">
        <f>+K7+2</f>
        <v>6</v>
      </c>
      <c r="L8" s="11"/>
      <c r="M8" s="11"/>
      <c r="N8" s="11"/>
      <c r="O8" s="11">
        <f>+O7+1</f>
        <v>2</v>
      </c>
      <c r="P8" s="11">
        <f>+P7+2</f>
        <v>6</v>
      </c>
      <c r="Q8" s="11">
        <f>+Q7+18</f>
        <v>36</v>
      </c>
      <c r="R8" s="11">
        <f>+R7+44</f>
        <v>108</v>
      </c>
      <c r="S8" s="11">
        <f>+S7+8</f>
        <v>16</v>
      </c>
      <c r="T8" s="11">
        <f>+T7+6</f>
        <v>14</v>
      </c>
      <c r="U8" s="11">
        <v>2</v>
      </c>
      <c r="V8" s="12">
        <f>+V7+6</f>
        <v>10</v>
      </c>
      <c r="W8" s="12">
        <f>+Tabla3[[#This Row],[Esquineros]]*2</f>
        <v>12</v>
      </c>
      <c r="X8" s="12"/>
      <c r="Y8" s="13"/>
    </row>
    <row r="9" spans="1:25" ht="27.75" customHeight="1" x14ac:dyDescent="0.25">
      <c r="A9" s="6">
        <v>10</v>
      </c>
      <c r="B9" s="7" t="s">
        <v>23</v>
      </c>
      <c r="C9" s="7">
        <v>30</v>
      </c>
      <c r="D9" s="7" t="s">
        <v>24</v>
      </c>
      <c r="E9" s="8" t="str">
        <f t="shared" si="0"/>
        <v>10x30 Dado Corredizo 50</v>
      </c>
      <c r="F9" s="9">
        <v>3</v>
      </c>
      <c r="G9" s="11">
        <f t="shared" ref="G9:H16" si="1">+G8+3</f>
        <v>10</v>
      </c>
      <c r="H9" s="11">
        <f t="shared" si="1"/>
        <v>10</v>
      </c>
      <c r="I9" s="11">
        <f t="shared" ref="I9:K16" si="2">+I8+2</f>
        <v>8</v>
      </c>
      <c r="J9" s="11"/>
      <c r="K9" s="11">
        <f t="shared" si="2"/>
        <v>8</v>
      </c>
      <c r="L9" s="11"/>
      <c r="M9" s="11"/>
      <c r="N9" s="11"/>
      <c r="O9" s="11">
        <f t="shared" ref="O9:O16" si="3">+O8+1</f>
        <v>3</v>
      </c>
      <c r="P9" s="11">
        <f t="shared" ref="P9:P16" si="4">+P8+2</f>
        <v>8</v>
      </c>
      <c r="Q9" s="11">
        <f t="shared" ref="Q9:Q16" si="5">+Q8+18</f>
        <v>54</v>
      </c>
      <c r="R9" s="11">
        <f t="shared" ref="R9:R16" si="6">+R8+44</f>
        <v>152</v>
      </c>
      <c r="S9" s="11">
        <f t="shared" ref="S9:S16" si="7">+S8+8</f>
        <v>24</v>
      </c>
      <c r="T9" s="11">
        <f t="shared" ref="T9:T16" si="8">+T8+6</f>
        <v>20</v>
      </c>
      <c r="U9" s="9">
        <v>2</v>
      </c>
      <c r="V9" s="12">
        <f t="shared" ref="V9:V16" si="9">+V8+6</f>
        <v>16</v>
      </c>
      <c r="W9" s="12">
        <f>+Tabla3[[#This Row],[Esquineros]]*2</f>
        <v>16</v>
      </c>
      <c r="X9" s="10"/>
    </row>
    <row r="10" spans="1:25" ht="27.75" customHeight="1" x14ac:dyDescent="0.25">
      <c r="A10" s="6">
        <v>10</v>
      </c>
      <c r="B10" s="7" t="s">
        <v>23</v>
      </c>
      <c r="C10" s="7">
        <v>40</v>
      </c>
      <c r="D10" s="7" t="s">
        <v>24</v>
      </c>
      <c r="E10" s="8" t="str">
        <f t="shared" si="0"/>
        <v>10x40 Dado Corredizo 50</v>
      </c>
      <c r="F10" s="11">
        <v>4</v>
      </c>
      <c r="G10" s="11">
        <f t="shared" si="1"/>
        <v>13</v>
      </c>
      <c r="H10" s="11">
        <f t="shared" si="1"/>
        <v>13</v>
      </c>
      <c r="I10" s="11">
        <f t="shared" si="2"/>
        <v>10</v>
      </c>
      <c r="J10" s="11"/>
      <c r="K10" s="11">
        <f t="shared" si="2"/>
        <v>10</v>
      </c>
      <c r="L10" s="11"/>
      <c r="M10" s="11"/>
      <c r="N10" s="11"/>
      <c r="O10" s="11">
        <f t="shared" si="3"/>
        <v>4</v>
      </c>
      <c r="P10" s="11">
        <f t="shared" si="4"/>
        <v>10</v>
      </c>
      <c r="Q10" s="11">
        <f t="shared" si="5"/>
        <v>72</v>
      </c>
      <c r="R10" s="11">
        <f t="shared" si="6"/>
        <v>196</v>
      </c>
      <c r="S10" s="11">
        <f t="shared" si="7"/>
        <v>32</v>
      </c>
      <c r="T10" s="11">
        <f t="shared" si="8"/>
        <v>26</v>
      </c>
      <c r="U10" s="11">
        <v>2</v>
      </c>
      <c r="V10" s="12">
        <f t="shared" si="9"/>
        <v>22</v>
      </c>
      <c r="W10" s="12">
        <f>+Tabla3[[#This Row],[Esquineros]]*2</f>
        <v>20</v>
      </c>
      <c r="X10" s="12"/>
      <c r="Y10" s="13"/>
    </row>
    <row r="11" spans="1:25" ht="27.75" customHeight="1" x14ac:dyDescent="0.25">
      <c r="A11" s="6">
        <v>10</v>
      </c>
      <c r="B11" s="7" t="s">
        <v>23</v>
      </c>
      <c r="C11" s="7">
        <v>50</v>
      </c>
      <c r="D11" s="7" t="s">
        <v>24</v>
      </c>
      <c r="E11" s="8" t="str">
        <f t="shared" si="0"/>
        <v>10x50 Dado Corredizo 50</v>
      </c>
      <c r="F11" s="9">
        <v>5</v>
      </c>
      <c r="G11" s="11">
        <f t="shared" si="1"/>
        <v>16</v>
      </c>
      <c r="H11" s="11">
        <f t="shared" si="1"/>
        <v>16</v>
      </c>
      <c r="I11" s="11">
        <f t="shared" si="2"/>
        <v>12</v>
      </c>
      <c r="J11" s="11"/>
      <c r="K11" s="11">
        <f t="shared" si="2"/>
        <v>12</v>
      </c>
      <c r="L11" s="11"/>
      <c r="M11" s="11"/>
      <c r="N11" s="11"/>
      <c r="O11" s="11">
        <f t="shared" si="3"/>
        <v>5</v>
      </c>
      <c r="P11" s="11">
        <f t="shared" si="4"/>
        <v>12</v>
      </c>
      <c r="Q11" s="11">
        <f t="shared" si="5"/>
        <v>90</v>
      </c>
      <c r="R11" s="11">
        <f t="shared" si="6"/>
        <v>240</v>
      </c>
      <c r="S11" s="11">
        <f t="shared" si="7"/>
        <v>40</v>
      </c>
      <c r="T11" s="11">
        <f t="shared" si="8"/>
        <v>32</v>
      </c>
      <c r="U11" s="9">
        <v>2</v>
      </c>
      <c r="V11" s="12">
        <f t="shared" si="9"/>
        <v>28</v>
      </c>
      <c r="W11" s="12">
        <f>+Tabla3[[#This Row],[Esquineros]]*2</f>
        <v>24</v>
      </c>
      <c r="X11" s="10"/>
    </row>
    <row r="12" spans="1:25" ht="27.75" customHeight="1" x14ac:dyDescent="0.25">
      <c r="A12" s="6">
        <v>10</v>
      </c>
      <c r="B12" s="7" t="s">
        <v>23</v>
      </c>
      <c r="C12" s="7">
        <v>60</v>
      </c>
      <c r="D12" s="7" t="s">
        <v>24</v>
      </c>
      <c r="E12" s="8" t="str">
        <f t="shared" si="0"/>
        <v>10x60 Dado Corredizo 50</v>
      </c>
      <c r="F12" s="11">
        <v>6</v>
      </c>
      <c r="G12" s="11">
        <f t="shared" si="1"/>
        <v>19</v>
      </c>
      <c r="H12" s="11">
        <f t="shared" si="1"/>
        <v>19</v>
      </c>
      <c r="I12" s="11">
        <f t="shared" si="2"/>
        <v>14</v>
      </c>
      <c r="J12" s="11"/>
      <c r="K12" s="11">
        <f t="shared" si="2"/>
        <v>14</v>
      </c>
      <c r="L12" s="11"/>
      <c r="M12" s="11"/>
      <c r="N12" s="11"/>
      <c r="O12" s="11">
        <f t="shared" si="3"/>
        <v>6</v>
      </c>
      <c r="P12" s="11">
        <f t="shared" si="4"/>
        <v>14</v>
      </c>
      <c r="Q12" s="11">
        <f t="shared" si="5"/>
        <v>108</v>
      </c>
      <c r="R12" s="11">
        <f t="shared" si="6"/>
        <v>284</v>
      </c>
      <c r="S12" s="11">
        <f t="shared" si="7"/>
        <v>48</v>
      </c>
      <c r="T12" s="11">
        <f t="shared" si="8"/>
        <v>38</v>
      </c>
      <c r="U12" s="11">
        <v>2</v>
      </c>
      <c r="V12" s="12">
        <f t="shared" si="9"/>
        <v>34</v>
      </c>
      <c r="W12" s="12">
        <f>+Tabla3[[#This Row],[Esquineros]]*2</f>
        <v>28</v>
      </c>
      <c r="X12" s="12"/>
      <c r="Y12" s="13"/>
    </row>
    <row r="13" spans="1:25" ht="27.75" customHeight="1" x14ac:dyDescent="0.25">
      <c r="A13" s="6">
        <v>10</v>
      </c>
      <c r="B13" s="7" t="s">
        <v>23</v>
      </c>
      <c r="C13" s="7">
        <v>70</v>
      </c>
      <c r="D13" s="7" t="s">
        <v>24</v>
      </c>
      <c r="E13" s="8" t="str">
        <f t="shared" si="0"/>
        <v>10x70 Dado Corredizo 50</v>
      </c>
      <c r="F13" s="9">
        <v>7</v>
      </c>
      <c r="G13" s="11">
        <f t="shared" si="1"/>
        <v>22</v>
      </c>
      <c r="H13" s="11">
        <f t="shared" si="1"/>
        <v>22</v>
      </c>
      <c r="I13" s="11">
        <f t="shared" si="2"/>
        <v>16</v>
      </c>
      <c r="J13" s="11"/>
      <c r="K13" s="11">
        <f t="shared" si="2"/>
        <v>16</v>
      </c>
      <c r="L13" s="11"/>
      <c r="M13" s="11"/>
      <c r="N13" s="11"/>
      <c r="O13" s="11">
        <f t="shared" si="3"/>
        <v>7</v>
      </c>
      <c r="P13" s="11">
        <f t="shared" si="4"/>
        <v>16</v>
      </c>
      <c r="Q13" s="11">
        <f t="shared" si="5"/>
        <v>126</v>
      </c>
      <c r="R13" s="11">
        <f t="shared" si="6"/>
        <v>328</v>
      </c>
      <c r="S13" s="11">
        <f t="shared" si="7"/>
        <v>56</v>
      </c>
      <c r="T13" s="11">
        <f t="shared" si="8"/>
        <v>44</v>
      </c>
      <c r="U13" s="9">
        <v>2</v>
      </c>
      <c r="V13" s="12">
        <f t="shared" si="9"/>
        <v>40</v>
      </c>
      <c r="W13" s="12">
        <f>+Tabla3[[#This Row],[Esquineros]]*2</f>
        <v>32</v>
      </c>
      <c r="X13" s="10"/>
    </row>
    <row r="14" spans="1:25" ht="27.75" customHeight="1" x14ac:dyDescent="0.25">
      <c r="A14" s="6">
        <v>10</v>
      </c>
      <c r="B14" s="7" t="s">
        <v>23</v>
      </c>
      <c r="C14" s="7">
        <v>80</v>
      </c>
      <c r="D14" s="7" t="s">
        <v>24</v>
      </c>
      <c r="E14" s="8" t="str">
        <f t="shared" si="0"/>
        <v>10x80 Dado Corredizo 50</v>
      </c>
      <c r="F14" s="11">
        <v>8</v>
      </c>
      <c r="G14" s="11">
        <f t="shared" si="1"/>
        <v>25</v>
      </c>
      <c r="H14" s="11">
        <f t="shared" si="1"/>
        <v>25</v>
      </c>
      <c r="I14" s="11">
        <f t="shared" si="2"/>
        <v>18</v>
      </c>
      <c r="J14" s="11"/>
      <c r="K14" s="11">
        <f t="shared" si="2"/>
        <v>18</v>
      </c>
      <c r="L14" s="11"/>
      <c r="M14" s="11"/>
      <c r="N14" s="11"/>
      <c r="O14" s="11">
        <f t="shared" si="3"/>
        <v>8</v>
      </c>
      <c r="P14" s="11">
        <f t="shared" si="4"/>
        <v>18</v>
      </c>
      <c r="Q14" s="11">
        <f t="shared" si="5"/>
        <v>144</v>
      </c>
      <c r="R14" s="11">
        <f t="shared" si="6"/>
        <v>372</v>
      </c>
      <c r="S14" s="11">
        <f t="shared" si="7"/>
        <v>64</v>
      </c>
      <c r="T14" s="11">
        <f t="shared" si="8"/>
        <v>50</v>
      </c>
      <c r="U14" s="11">
        <v>2</v>
      </c>
      <c r="V14" s="12">
        <f t="shared" si="9"/>
        <v>46</v>
      </c>
      <c r="W14" s="12">
        <f>+Tabla3[[#This Row],[Esquineros]]*2</f>
        <v>36</v>
      </c>
      <c r="X14" s="12"/>
      <c r="Y14" s="13"/>
    </row>
    <row r="15" spans="1:25" ht="27.75" customHeight="1" x14ac:dyDescent="0.25">
      <c r="A15" s="6">
        <v>10</v>
      </c>
      <c r="B15" s="7" t="s">
        <v>23</v>
      </c>
      <c r="C15" s="7">
        <v>90</v>
      </c>
      <c r="D15" s="7" t="s">
        <v>24</v>
      </c>
      <c r="E15" s="8" t="str">
        <f t="shared" si="0"/>
        <v>10x90 Dado Corredizo 50</v>
      </c>
      <c r="F15" s="9">
        <v>9</v>
      </c>
      <c r="G15" s="11">
        <f t="shared" si="1"/>
        <v>28</v>
      </c>
      <c r="H15" s="11">
        <f t="shared" si="1"/>
        <v>28</v>
      </c>
      <c r="I15" s="11">
        <f t="shared" si="2"/>
        <v>20</v>
      </c>
      <c r="J15" s="11"/>
      <c r="K15" s="11">
        <f t="shared" si="2"/>
        <v>20</v>
      </c>
      <c r="L15" s="11"/>
      <c r="M15" s="11"/>
      <c r="N15" s="11"/>
      <c r="O15" s="11">
        <f t="shared" si="3"/>
        <v>9</v>
      </c>
      <c r="P15" s="11">
        <f t="shared" si="4"/>
        <v>20</v>
      </c>
      <c r="Q15" s="11">
        <f t="shared" si="5"/>
        <v>162</v>
      </c>
      <c r="R15" s="11">
        <f t="shared" si="6"/>
        <v>416</v>
      </c>
      <c r="S15" s="11">
        <f t="shared" si="7"/>
        <v>72</v>
      </c>
      <c r="T15" s="11">
        <f t="shared" si="8"/>
        <v>56</v>
      </c>
      <c r="U15" s="9">
        <v>2</v>
      </c>
      <c r="V15" s="12">
        <f t="shared" si="9"/>
        <v>52</v>
      </c>
      <c r="W15" s="12">
        <f>+Tabla3[[#This Row],[Esquineros]]*2</f>
        <v>40</v>
      </c>
      <c r="X15" s="10"/>
    </row>
    <row r="16" spans="1:25" ht="27.75" customHeight="1" x14ac:dyDescent="0.25">
      <c r="A16" s="6">
        <v>10</v>
      </c>
      <c r="B16" s="7" t="s">
        <v>23</v>
      </c>
      <c r="C16" s="7">
        <v>100</v>
      </c>
      <c r="D16" s="7" t="s">
        <v>24</v>
      </c>
      <c r="E16" s="8" t="str">
        <f t="shared" si="0"/>
        <v>10x100 Dado Corredizo 50</v>
      </c>
      <c r="F16" s="11">
        <v>10</v>
      </c>
      <c r="G16" s="11">
        <f t="shared" si="1"/>
        <v>31</v>
      </c>
      <c r="H16" s="11">
        <f t="shared" si="1"/>
        <v>31</v>
      </c>
      <c r="I16" s="11">
        <f t="shared" si="2"/>
        <v>22</v>
      </c>
      <c r="J16" s="11"/>
      <c r="K16" s="11">
        <f t="shared" si="2"/>
        <v>22</v>
      </c>
      <c r="L16" s="11"/>
      <c r="M16" s="11"/>
      <c r="N16" s="11"/>
      <c r="O16" s="11">
        <f t="shared" si="3"/>
        <v>10</v>
      </c>
      <c r="P16" s="11">
        <f t="shared" si="4"/>
        <v>22</v>
      </c>
      <c r="Q16" s="11">
        <f t="shared" si="5"/>
        <v>180</v>
      </c>
      <c r="R16" s="11">
        <f t="shared" si="6"/>
        <v>460</v>
      </c>
      <c r="S16" s="11">
        <f t="shared" si="7"/>
        <v>80</v>
      </c>
      <c r="T16" s="11">
        <f t="shared" si="8"/>
        <v>62</v>
      </c>
      <c r="U16" s="11">
        <v>2</v>
      </c>
      <c r="V16" s="12">
        <f t="shared" si="9"/>
        <v>58</v>
      </c>
      <c r="W16" s="12">
        <f>+Tabla3[[#This Row],[Esquineros]]*2</f>
        <v>44</v>
      </c>
      <c r="X16" s="12"/>
      <c r="Y16" s="13"/>
    </row>
    <row r="17" spans="1:25" ht="27.75" customHeight="1" x14ac:dyDescent="0.25">
      <c r="A17" s="6">
        <v>10</v>
      </c>
      <c r="B17" s="7" t="s">
        <v>23</v>
      </c>
      <c r="C17" s="7">
        <v>10</v>
      </c>
      <c r="D17" s="7" t="s">
        <v>25</v>
      </c>
      <c r="E17" s="8" t="str">
        <f t="shared" si="0"/>
        <v>10x10 Dado Fijo</v>
      </c>
      <c r="F17" s="9">
        <v>1</v>
      </c>
      <c r="G17" s="11">
        <v>0</v>
      </c>
      <c r="H17" s="11">
        <v>0</v>
      </c>
      <c r="I17" s="11"/>
      <c r="J17" s="11"/>
      <c r="K17" s="9">
        <v>4</v>
      </c>
      <c r="L17" s="11">
        <v>8</v>
      </c>
      <c r="M17" s="9">
        <v>4</v>
      </c>
      <c r="N17" s="9">
        <v>4</v>
      </c>
      <c r="O17" s="11">
        <v>1</v>
      </c>
      <c r="P17" s="9">
        <v>4</v>
      </c>
      <c r="Q17" s="9">
        <v>18</v>
      </c>
      <c r="R17" s="11">
        <v>72</v>
      </c>
      <c r="S17" s="9">
        <v>8</v>
      </c>
      <c r="T17" s="9">
        <v>8</v>
      </c>
      <c r="U17" s="11">
        <v>2</v>
      </c>
      <c r="V17" s="10">
        <v>4</v>
      </c>
      <c r="W17" s="10">
        <f>+Tabla3[[#This Row],[Esquineros]]*2</f>
        <v>8</v>
      </c>
      <c r="X17" s="12"/>
      <c r="Y17" s="13"/>
    </row>
    <row r="18" spans="1:25" ht="27.75" customHeight="1" x14ac:dyDescent="0.25">
      <c r="A18" s="6">
        <v>10</v>
      </c>
      <c r="B18" s="7" t="s">
        <v>23</v>
      </c>
      <c r="C18" s="7">
        <v>20</v>
      </c>
      <c r="D18" s="7" t="s">
        <v>25</v>
      </c>
      <c r="E18" s="8" t="str">
        <f t="shared" si="0"/>
        <v>10x20 Dado Fijo</v>
      </c>
      <c r="F18" s="11">
        <v>2</v>
      </c>
      <c r="G18" s="11"/>
      <c r="H18" s="11"/>
      <c r="I18" s="11"/>
      <c r="J18" s="11"/>
      <c r="K18" s="11">
        <f>+K17+3</f>
        <v>7</v>
      </c>
      <c r="L18" s="11">
        <f>+L17+5</f>
        <v>13</v>
      </c>
      <c r="M18" s="11">
        <f t="shared" ref="M18:N26" si="10">+M17+2</f>
        <v>6</v>
      </c>
      <c r="N18" s="11">
        <f t="shared" si="10"/>
        <v>6</v>
      </c>
      <c r="O18" s="11">
        <v>2</v>
      </c>
      <c r="P18" s="11">
        <f>+P17+2</f>
        <v>6</v>
      </c>
      <c r="Q18" s="11">
        <f>+Q17+18</f>
        <v>36</v>
      </c>
      <c r="R18" s="11">
        <f>+R17+48</f>
        <v>120</v>
      </c>
      <c r="S18" s="11">
        <f>+S17+8</f>
        <v>16</v>
      </c>
      <c r="T18" s="11">
        <f>+T17+6</f>
        <v>14</v>
      </c>
      <c r="U18" s="11">
        <v>2</v>
      </c>
      <c r="V18" s="12">
        <f>+V17+6</f>
        <v>10</v>
      </c>
      <c r="W18" s="12">
        <f>+Tabla3[[#This Row],[Esquineros]]*2</f>
        <v>12</v>
      </c>
      <c r="X18" s="12"/>
      <c r="Y18" s="13"/>
    </row>
    <row r="19" spans="1:25" ht="27.75" customHeight="1" x14ac:dyDescent="0.25">
      <c r="A19" s="6">
        <v>10</v>
      </c>
      <c r="B19" s="7" t="s">
        <v>23</v>
      </c>
      <c r="C19" s="7">
        <v>30</v>
      </c>
      <c r="D19" s="7" t="s">
        <v>25</v>
      </c>
      <c r="E19" s="8" t="str">
        <f t="shared" si="0"/>
        <v>10x30 Dado Fijo</v>
      </c>
      <c r="F19" s="9">
        <v>3</v>
      </c>
      <c r="G19" s="11"/>
      <c r="H19" s="11"/>
      <c r="I19" s="11"/>
      <c r="J19" s="11"/>
      <c r="K19" s="11">
        <f t="shared" ref="K19:K26" si="11">+K18+3</f>
        <v>10</v>
      </c>
      <c r="L19" s="11">
        <f t="shared" ref="L19:L26" si="12">+L18+5</f>
        <v>18</v>
      </c>
      <c r="M19" s="11">
        <f t="shared" si="10"/>
        <v>8</v>
      </c>
      <c r="N19" s="11">
        <f t="shared" si="10"/>
        <v>8</v>
      </c>
      <c r="O19" s="11">
        <v>3</v>
      </c>
      <c r="P19" s="11">
        <f t="shared" ref="P19:P26" si="13">+P18+2</f>
        <v>8</v>
      </c>
      <c r="Q19" s="11">
        <f t="shared" ref="Q19:Q26" si="14">+Q18+18</f>
        <v>54</v>
      </c>
      <c r="R19" s="11">
        <f t="shared" ref="R19:R26" si="15">+R18+48</f>
        <v>168</v>
      </c>
      <c r="S19" s="11">
        <f t="shared" ref="S19:S26" si="16">+S18+8</f>
        <v>24</v>
      </c>
      <c r="T19" s="11">
        <f t="shared" ref="T19:T26" si="17">+T18+6</f>
        <v>20</v>
      </c>
      <c r="U19" s="11">
        <v>2</v>
      </c>
      <c r="V19" s="12">
        <f t="shared" ref="V19:V26" si="18">+V18+6</f>
        <v>16</v>
      </c>
      <c r="W19" s="12">
        <f>+Tabla3[[#This Row],[Esquineros]]*2</f>
        <v>16</v>
      </c>
      <c r="X19" s="12"/>
      <c r="Y19" s="13"/>
    </row>
    <row r="20" spans="1:25" ht="27.75" customHeight="1" x14ac:dyDescent="0.25">
      <c r="A20" s="6">
        <v>10</v>
      </c>
      <c r="B20" s="7" t="s">
        <v>23</v>
      </c>
      <c r="C20" s="7">
        <v>40</v>
      </c>
      <c r="D20" s="7" t="s">
        <v>25</v>
      </c>
      <c r="E20" s="8" t="str">
        <f t="shared" si="0"/>
        <v>10x40 Dado Fijo</v>
      </c>
      <c r="F20" s="11">
        <v>4</v>
      </c>
      <c r="G20" s="11"/>
      <c r="H20" s="11"/>
      <c r="I20" s="11"/>
      <c r="J20" s="11"/>
      <c r="K20" s="11">
        <f t="shared" si="11"/>
        <v>13</v>
      </c>
      <c r="L20" s="11">
        <f t="shared" si="12"/>
        <v>23</v>
      </c>
      <c r="M20" s="11">
        <f t="shared" si="10"/>
        <v>10</v>
      </c>
      <c r="N20" s="11">
        <f t="shared" si="10"/>
        <v>10</v>
      </c>
      <c r="O20" s="11">
        <v>4</v>
      </c>
      <c r="P20" s="11">
        <f t="shared" si="13"/>
        <v>10</v>
      </c>
      <c r="Q20" s="11">
        <f t="shared" si="14"/>
        <v>72</v>
      </c>
      <c r="R20" s="11">
        <f t="shared" si="15"/>
        <v>216</v>
      </c>
      <c r="S20" s="11">
        <f t="shared" si="16"/>
        <v>32</v>
      </c>
      <c r="T20" s="11">
        <f t="shared" si="17"/>
        <v>26</v>
      </c>
      <c r="U20" s="11">
        <v>2</v>
      </c>
      <c r="V20" s="12">
        <f t="shared" si="18"/>
        <v>22</v>
      </c>
      <c r="W20" s="12">
        <f>+Tabla3[[#This Row],[Esquineros]]*2</f>
        <v>20</v>
      </c>
      <c r="X20" s="12"/>
      <c r="Y20" s="13"/>
    </row>
    <row r="21" spans="1:25" ht="27.75" customHeight="1" x14ac:dyDescent="0.25">
      <c r="A21" s="6">
        <v>10</v>
      </c>
      <c r="B21" s="7" t="s">
        <v>23</v>
      </c>
      <c r="C21" s="7">
        <v>50</v>
      </c>
      <c r="D21" s="7" t="s">
        <v>25</v>
      </c>
      <c r="E21" s="8" t="str">
        <f t="shared" si="0"/>
        <v>10x50 Dado Fijo</v>
      </c>
      <c r="F21" s="9">
        <v>5</v>
      </c>
      <c r="G21" s="11"/>
      <c r="H21" s="11"/>
      <c r="I21" s="11"/>
      <c r="J21" s="11"/>
      <c r="K21" s="11">
        <f t="shared" si="11"/>
        <v>16</v>
      </c>
      <c r="L21" s="11">
        <f t="shared" si="12"/>
        <v>28</v>
      </c>
      <c r="M21" s="11">
        <f t="shared" si="10"/>
        <v>12</v>
      </c>
      <c r="N21" s="11">
        <f t="shared" si="10"/>
        <v>12</v>
      </c>
      <c r="O21" s="11">
        <v>5</v>
      </c>
      <c r="P21" s="11">
        <f t="shared" si="13"/>
        <v>12</v>
      </c>
      <c r="Q21" s="11">
        <f t="shared" si="14"/>
        <v>90</v>
      </c>
      <c r="R21" s="11">
        <f t="shared" si="15"/>
        <v>264</v>
      </c>
      <c r="S21" s="11">
        <f t="shared" si="16"/>
        <v>40</v>
      </c>
      <c r="T21" s="11">
        <f t="shared" si="17"/>
        <v>32</v>
      </c>
      <c r="U21" s="11">
        <v>2</v>
      </c>
      <c r="V21" s="12">
        <f t="shared" si="18"/>
        <v>28</v>
      </c>
      <c r="W21" s="12">
        <f>+Tabla3[[#This Row],[Esquineros]]*2</f>
        <v>24</v>
      </c>
      <c r="X21" s="12"/>
      <c r="Y21" s="13"/>
    </row>
    <row r="22" spans="1:25" ht="27.75" customHeight="1" x14ac:dyDescent="0.25">
      <c r="A22" s="6">
        <v>10</v>
      </c>
      <c r="B22" s="7" t="s">
        <v>23</v>
      </c>
      <c r="C22" s="7">
        <v>60</v>
      </c>
      <c r="D22" s="7" t="s">
        <v>25</v>
      </c>
      <c r="E22" s="8" t="str">
        <f t="shared" si="0"/>
        <v>10x60 Dado Fijo</v>
      </c>
      <c r="F22" s="11">
        <v>6</v>
      </c>
      <c r="G22" s="11"/>
      <c r="H22" s="11"/>
      <c r="I22" s="11"/>
      <c r="J22" s="11"/>
      <c r="K22" s="11">
        <f t="shared" si="11"/>
        <v>19</v>
      </c>
      <c r="L22" s="11">
        <f t="shared" si="12"/>
        <v>33</v>
      </c>
      <c r="M22" s="11">
        <f t="shared" si="10"/>
        <v>14</v>
      </c>
      <c r="N22" s="11">
        <f t="shared" si="10"/>
        <v>14</v>
      </c>
      <c r="O22" s="11">
        <v>6</v>
      </c>
      <c r="P22" s="11">
        <f t="shared" si="13"/>
        <v>14</v>
      </c>
      <c r="Q22" s="11">
        <f t="shared" si="14"/>
        <v>108</v>
      </c>
      <c r="R22" s="11">
        <f t="shared" si="15"/>
        <v>312</v>
      </c>
      <c r="S22" s="11">
        <f t="shared" si="16"/>
        <v>48</v>
      </c>
      <c r="T22" s="11">
        <f t="shared" si="17"/>
        <v>38</v>
      </c>
      <c r="U22" s="11">
        <v>2</v>
      </c>
      <c r="V22" s="12">
        <f t="shared" si="18"/>
        <v>34</v>
      </c>
      <c r="W22" s="12">
        <f>+Tabla3[[#This Row],[Esquineros]]*2</f>
        <v>28</v>
      </c>
      <c r="X22" s="12"/>
      <c r="Y22" s="13"/>
    </row>
    <row r="23" spans="1:25" ht="27.75" customHeight="1" x14ac:dyDescent="0.25">
      <c r="A23" s="6">
        <v>10</v>
      </c>
      <c r="B23" s="7" t="s">
        <v>23</v>
      </c>
      <c r="C23" s="7">
        <v>70</v>
      </c>
      <c r="D23" s="7" t="s">
        <v>25</v>
      </c>
      <c r="E23" s="8" t="str">
        <f t="shared" si="0"/>
        <v>10x70 Dado Fijo</v>
      </c>
      <c r="F23" s="9">
        <v>7</v>
      </c>
      <c r="G23" s="11"/>
      <c r="H23" s="11"/>
      <c r="I23" s="11"/>
      <c r="J23" s="11"/>
      <c r="K23" s="11">
        <f t="shared" si="11"/>
        <v>22</v>
      </c>
      <c r="L23" s="11">
        <f t="shared" si="12"/>
        <v>38</v>
      </c>
      <c r="M23" s="11">
        <f t="shared" si="10"/>
        <v>16</v>
      </c>
      <c r="N23" s="11">
        <f t="shared" si="10"/>
        <v>16</v>
      </c>
      <c r="O23" s="11">
        <v>7</v>
      </c>
      <c r="P23" s="11">
        <f t="shared" si="13"/>
        <v>16</v>
      </c>
      <c r="Q23" s="11">
        <f t="shared" si="14"/>
        <v>126</v>
      </c>
      <c r="R23" s="11">
        <f t="shared" si="15"/>
        <v>360</v>
      </c>
      <c r="S23" s="11">
        <f t="shared" si="16"/>
        <v>56</v>
      </c>
      <c r="T23" s="11">
        <f t="shared" si="17"/>
        <v>44</v>
      </c>
      <c r="U23" s="11">
        <v>2</v>
      </c>
      <c r="V23" s="12">
        <f t="shared" si="18"/>
        <v>40</v>
      </c>
      <c r="W23" s="12">
        <f>+Tabla3[[#This Row],[Esquineros]]*2</f>
        <v>32</v>
      </c>
      <c r="X23" s="12"/>
      <c r="Y23" s="13"/>
    </row>
    <row r="24" spans="1:25" ht="27.75" customHeight="1" x14ac:dyDescent="0.25">
      <c r="A24" s="6">
        <v>10</v>
      </c>
      <c r="B24" s="7" t="s">
        <v>23</v>
      </c>
      <c r="C24" s="7">
        <v>80</v>
      </c>
      <c r="D24" s="7" t="s">
        <v>25</v>
      </c>
      <c r="E24" s="8" t="str">
        <f t="shared" si="0"/>
        <v>10x80 Dado Fijo</v>
      </c>
      <c r="F24" s="11">
        <v>8</v>
      </c>
      <c r="G24" s="11"/>
      <c r="H24" s="11"/>
      <c r="I24" s="11"/>
      <c r="J24" s="11"/>
      <c r="K24" s="11">
        <f t="shared" si="11"/>
        <v>25</v>
      </c>
      <c r="L24" s="11">
        <f t="shared" si="12"/>
        <v>43</v>
      </c>
      <c r="M24" s="11">
        <f t="shared" si="10"/>
        <v>18</v>
      </c>
      <c r="N24" s="11">
        <f t="shared" si="10"/>
        <v>18</v>
      </c>
      <c r="O24" s="11">
        <v>8</v>
      </c>
      <c r="P24" s="11">
        <f t="shared" si="13"/>
        <v>18</v>
      </c>
      <c r="Q24" s="11">
        <f t="shared" si="14"/>
        <v>144</v>
      </c>
      <c r="R24" s="11">
        <f t="shared" si="15"/>
        <v>408</v>
      </c>
      <c r="S24" s="11">
        <f t="shared" si="16"/>
        <v>64</v>
      </c>
      <c r="T24" s="11">
        <f t="shared" si="17"/>
        <v>50</v>
      </c>
      <c r="U24" s="11">
        <v>2</v>
      </c>
      <c r="V24" s="12">
        <f t="shared" si="18"/>
        <v>46</v>
      </c>
      <c r="W24" s="12">
        <f>+Tabla3[[#This Row],[Esquineros]]*2</f>
        <v>36</v>
      </c>
      <c r="X24" s="12"/>
      <c r="Y24" s="13"/>
    </row>
    <row r="25" spans="1:25" ht="27.75" customHeight="1" x14ac:dyDescent="0.25">
      <c r="A25" s="6">
        <v>10</v>
      </c>
      <c r="B25" s="7" t="s">
        <v>23</v>
      </c>
      <c r="C25" s="7">
        <v>90</v>
      </c>
      <c r="D25" s="7" t="s">
        <v>25</v>
      </c>
      <c r="E25" s="8" t="str">
        <f t="shared" si="0"/>
        <v>10x90 Dado Fijo</v>
      </c>
      <c r="F25" s="9">
        <v>9</v>
      </c>
      <c r="G25" s="11"/>
      <c r="H25" s="11"/>
      <c r="I25" s="11"/>
      <c r="J25" s="11"/>
      <c r="K25" s="11">
        <f t="shared" si="11"/>
        <v>28</v>
      </c>
      <c r="L25" s="11">
        <f t="shared" si="12"/>
        <v>48</v>
      </c>
      <c r="M25" s="11">
        <f t="shared" si="10"/>
        <v>20</v>
      </c>
      <c r="N25" s="11">
        <f t="shared" si="10"/>
        <v>20</v>
      </c>
      <c r="O25" s="11">
        <v>9</v>
      </c>
      <c r="P25" s="11">
        <f t="shared" si="13"/>
        <v>20</v>
      </c>
      <c r="Q25" s="11">
        <f t="shared" si="14"/>
        <v>162</v>
      </c>
      <c r="R25" s="11">
        <f t="shared" si="15"/>
        <v>456</v>
      </c>
      <c r="S25" s="11">
        <f t="shared" si="16"/>
        <v>72</v>
      </c>
      <c r="T25" s="11">
        <f t="shared" si="17"/>
        <v>56</v>
      </c>
      <c r="U25" s="11">
        <v>2</v>
      </c>
      <c r="V25" s="12">
        <f t="shared" si="18"/>
        <v>52</v>
      </c>
      <c r="W25" s="12">
        <f>+Tabla3[[#This Row],[Esquineros]]*2</f>
        <v>40</v>
      </c>
      <c r="X25" s="12"/>
      <c r="Y25" s="13"/>
    </row>
    <row r="26" spans="1:25" ht="27.75" customHeight="1" x14ac:dyDescent="0.25">
      <c r="A26" s="6">
        <v>10</v>
      </c>
      <c r="B26" s="7" t="s">
        <v>23</v>
      </c>
      <c r="C26" s="7">
        <v>100</v>
      </c>
      <c r="D26" s="7" t="s">
        <v>25</v>
      </c>
      <c r="E26" s="8" t="str">
        <f t="shared" si="0"/>
        <v>10x100 Dado Fijo</v>
      </c>
      <c r="F26" s="11">
        <v>10</v>
      </c>
      <c r="G26" s="11"/>
      <c r="H26" s="11"/>
      <c r="I26" s="11"/>
      <c r="J26" s="11"/>
      <c r="K26" s="11">
        <f t="shared" si="11"/>
        <v>31</v>
      </c>
      <c r="L26" s="11">
        <f t="shared" si="12"/>
        <v>53</v>
      </c>
      <c r="M26" s="11">
        <f t="shared" si="10"/>
        <v>22</v>
      </c>
      <c r="N26" s="11">
        <f t="shared" si="10"/>
        <v>22</v>
      </c>
      <c r="O26" s="11">
        <v>10</v>
      </c>
      <c r="P26" s="11">
        <f t="shared" si="13"/>
        <v>22</v>
      </c>
      <c r="Q26" s="11">
        <f t="shared" si="14"/>
        <v>180</v>
      </c>
      <c r="R26" s="11">
        <f t="shared" si="15"/>
        <v>504</v>
      </c>
      <c r="S26" s="11">
        <f t="shared" si="16"/>
        <v>80</v>
      </c>
      <c r="T26" s="11">
        <f t="shared" si="17"/>
        <v>62</v>
      </c>
      <c r="U26" s="11">
        <v>2</v>
      </c>
      <c r="V26" s="12">
        <f t="shared" si="18"/>
        <v>58</v>
      </c>
      <c r="W26" s="12">
        <f>+Tabla3[[#This Row],[Esquineros]]*2</f>
        <v>44</v>
      </c>
      <c r="X26" s="12"/>
      <c r="Y26" s="13"/>
    </row>
    <row r="27" spans="1:25" ht="27.75" customHeight="1" x14ac:dyDescent="0.25">
      <c r="A27" s="6">
        <v>10</v>
      </c>
      <c r="B27" s="7" t="s">
        <v>23</v>
      </c>
      <c r="C27" s="7">
        <v>10</v>
      </c>
      <c r="D27" s="7" t="s">
        <v>26</v>
      </c>
      <c r="E27" s="8" t="str">
        <f>+CONCATENATE(A27,B27,C27," ",D27)</f>
        <v>10x10 Dado Corredizo 45</v>
      </c>
      <c r="F27" s="9">
        <v>1</v>
      </c>
      <c r="G27" s="9"/>
      <c r="H27" s="9"/>
      <c r="I27" s="9"/>
      <c r="J27" s="9">
        <v>4</v>
      </c>
      <c r="K27" s="9">
        <v>8</v>
      </c>
      <c r="L27" s="9">
        <v>4</v>
      </c>
      <c r="M27" s="9"/>
      <c r="N27" s="9"/>
      <c r="O27" s="9">
        <v>1</v>
      </c>
      <c r="P27" s="9">
        <v>4</v>
      </c>
      <c r="Q27" s="9">
        <v>18</v>
      </c>
      <c r="R27" s="9">
        <v>64</v>
      </c>
      <c r="S27" s="9">
        <v>8</v>
      </c>
      <c r="T27" s="9">
        <v>8</v>
      </c>
      <c r="U27" s="9">
        <v>2</v>
      </c>
      <c r="V27" s="10">
        <v>4</v>
      </c>
      <c r="W27" s="10">
        <f>+Tabla3[[#This Row],[Esquineros]]*2</f>
        <v>8</v>
      </c>
      <c r="X27" s="12">
        <v>4</v>
      </c>
      <c r="Y27" s="13"/>
    </row>
    <row r="28" spans="1:25" ht="27.75" customHeight="1" x14ac:dyDescent="0.25">
      <c r="A28" s="6">
        <v>10</v>
      </c>
      <c r="B28" s="7" t="s">
        <v>23</v>
      </c>
      <c r="C28" s="7">
        <v>20</v>
      </c>
      <c r="D28" s="7" t="s">
        <v>26</v>
      </c>
      <c r="E28" s="8" t="str">
        <f t="shared" ref="E28:E36" si="19">+CONCATENATE(A28,B28,C28," ",D28)</f>
        <v>10x20 Dado Corredizo 45</v>
      </c>
      <c r="F28" s="11">
        <v>2</v>
      </c>
      <c r="G28" s="11"/>
      <c r="H28" s="11"/>
      <c r="I28" s="11"/>
      <c r="J28" s="11">
        <f t="shared" ref="J28:J36" si="20">+J27+2</f>
        <v>6</v>
      </c>
      <c r="K28" s="11">
        <v>13</v>
      </c>
      <c r="L28" s="11">
        <v>7</v>
      </c>
      <c r="M28" s="11"/>
      <c r="N28" s="11"/>
      <c r="O28" s="11">
        <f>+O27+1</f>
        <v>2</v>
      </c>
      <c r="P28" s="11">
        <f>+P27+2</f>
        <v>6</v>
      </c>
      <c r="Q28" s="11">
        <f>+Q27+18</f>
        <v>36</v>
      </c>
      <c r="R28" s="11">
        <f>+R27+44</f>
        <v>108</v>
      </c>
      <c r="S28" s="11">
        <f>+S27+8</f>
        <v>16</v>
      </c>
      <c r="T28" s="11">
        <f>+T27+6</f>
        <v>14</v>
      </c>
      <c r="U28" s="11">
        <v>2</v>
      </c>
      <c r="V28" s="12">
        <f>+V27+6</f>
        <v>10</v>
      </c>
      <c r="W28" s="12">
        <f>+Tabla3[[#This Row],[Esquineros]]*2</f>
        <v>12</v>
      </c>
      <c r="X28" s="12">
        <f>+X27+2</f>
        <v>6</v>
      </c>
      <c r="Y28" s="13"/>
    </row>
    <row r="29" spans="1:25" ht="27.75" customHeight="1" x14ac:dyDescent="0.25">
      <c r="A29" s="6">
        <v>10</v>
      </c>
      <c r="B29" s="7" t="s">
        <v>23</v>
      </c>
      <c r="C29" s="7">
        <v>30</v>
      </c>
      <c r="D29" s="7" t="s">
        <v>26</v>
      </c>
      <c r="E29" s="8" t="str">
        <f t="shared" si="19"/>
        <v>10x30 Dado Corredizo 45</v>
      </c>
      <c r="F29" s="9">
        <v>3</v>
      </c>
      <c r="G29" s="11"/>
      <c r="H29" s="11"/>
      <c r="I29" s="11"/>
      <c r="J29" s="11">
        <f t="shared" si="20"/>
        <v>8</v>
      </c>
      <c r="K29" s="11">
        <f>+K28+5</f>
        <v>18</v>
      </c>
      <c r="L29" s="11">
        <f>+L28+3</f>
        <v>10</v>
      </c>
      <c r="M29" s="11"/>
      <c r="N29" s="11"/>
      <c r="O29" s="11">
        <f t="shared" ref="O29:O36" si="21">+O28+1</f>
        <v>3</v>
      </c>
      <c r="P29" s="11">
        <f t="shared" ref="P29:P36" si="22">+P28+2</f>
        <v>8</v>
      </c>
      <c r="Q29" s="11">
        <f t="shared" ref="Q29:Q36" si="23">+Q28+18</f>
        <v>54</v>
      </c>
      <c r="R29" s="11">
        <f t="shared" ref="R29:R36" si="24">+R28+44</f>
        <v>152</v>
      </c>
      <c r="S29" s="11">
        <f t="shared" ref="S29:S36" si="25">+S28+8</f>
        <v>24</v>
      </c>
      <c r="T29" s="11">
        <f t="shared" ref="T29:T36" si="26">+T28+6</f>
        <v>20</v>
      </c>
      <c r="U29" s="9">
        <v>2</v>
      </c>
      <c r="V29" s="12">
        <f t="shared" ref="V29:V36" si="27">+V28+6</f>
        <v>16</v>
      </c>
      <c r="W29" s="12">
        <f>+Tabla3[[#This Row],[Esquineros]]*2</f>
        <v>16</v>
      </c>
      <c r="X29" s="12">
        <f>+X28+2</f>
        <v>8</v>
      </c>
      <c r="Y29" s="13"/>
    </row>
    <row r="30" spans="1:25" ht="27.75" customHeight="1" x14ac:dyDescent="0.25">
      <c r="A30" s="6">
        <v>10</v>
      </c>
      <c r="B30" s="7" t="s">
        <v>23</v>
      </c>
      <c r="C30" s="7">
        <v>40</v>
      </c>
      <c r="D30" s="7" t="s">
        <v>26</v>
      </c>
      <c r="E30" s="8" t="str">
        <f t="shared" si="19"/>
        <v>10x40 Dado Corredizo 45</v>
      </c>
      <c r="F30" s="11">
        <v>4</v>
      </c>
      <c r="G30" s="11"/>
      <c r="H30" s="11"/>
      <c r="I30" s="11"/>
      <c r="J30" s="11">
        <f t="shared" si="20"/>
        <v>10</v>
      </c>
      <c r="K30" s="11">
        <f t="shared" ref="K30:K36" si="28">+K29+5</f>
        <v>23</v>
      </c>
      <c r="L30" s="11">
        <f t="shared" ref="L30:L36" si="29">+L29+3</f>
        <v>13</v>
      </c>
      <c r="M30" s="11"/>
      <c r="N30" s="11"/>
      <c r="O30" s="11">
        <f t="shared" si="21"/>
        <v>4</v>
      </c>
      <c r="P30" s="11">
        <f t="shared" si="22"/>
        <v>10</v>
      </c>
      <c r="Q30" s="11">
        <f t="shared" si="23"/>
        <v>72</v>
      </c>
      <c r="R30" s="11">
        <f t="shared" si="24"/>
        <v>196</v>
      </c>
      <c r="S30" s="11">
        <f t="shared" si="25"/>
        <v>32</v>
      </c>
      <c r="T30" s="11">
        <f t="shared" si="26"/>
        <v>26</v>
      </c>
      <c r="U30" s="11">
        <v>2</v>
      </c>
      <c r="V30" s="12">
        <f t="shared" si="27"/>
        <v>22</v>
      </c>
      <c r="W30" s="12">
        <f>+Tabla3[[#This Row],[Esquineros]]*2</f>
        <v>20</v>
      </c>
      <c r="X30" s="12">
        <f t="shared" ref="X30:X36" si="30">+X29+2</f>
        <v>10</v>
      </c>
      <c r="Y30" s="13"/>
    </row>
    <row r="31" spans="1:25" ht="27.75" customHeight="1" x14ac:dyDescent="0.25">
      <c r="A31" s="6">
        <v>10</v>
      </c>
      <c r="B31" s="7" t="s">
        <v>23</v>
      </c>
      <c r="C31" s="7">
        <v>50</v>
      </c>
      <c r="D31" s="7" t="s">
        <v>26</v>
      </c>
      <c r="E31" s="8" t="str">
        <f t="shared" si="19"/>
        <v>10x50 Dado Corredizo 45</v>
      </c>
      <c r="F31" s="9">
        <v>5</v>
      </c>
      <c r="G31" s="11"/>
      <c r="H31" s="11"/>
      <c r="I31" s="11"/>
      <c r="J31" s="11">
        <f t="shared" si="20"/>
        <v>12</v>
      </c>
      <c r="K31" s="11">
        <f t="shared" si="28"/>
        <v>28</v>
      </c>
      <c r="L31" s="11">
        <f t="shared" si="29"/>
        <v>16</v>
      </c>
      <c r="M31" s="11"/>
      <c r="N31" s="11"/>
      <c r="O31" s="11">
        <f t="shared" si="21"/>
        <v>5</v>
      </c>
      <c r="P31" s="11">
        <f t="shared" si="22"/>
        <v>12</v>
      </c>
      <c r="Q31" s="11">
        <f t="shared" si="23"/>
        <v>90</v>
      </c>
      <c r="R31" s="11">
        <f t="shared" si="24"/>
        <v>240</v>
      </c>
      <c r="S31" s="11">
        <f t="shared" si="25"/>
        <v>40</v>
      </c>
      <c r="T31" s="11">
        <f t="shared" si="26"/>
        <v>32</v>
      </c>
      <c r="U31" s="9">
        <v>2</v>
      </c>
      <c r="V31" s="12">
        <f t="shared" si="27"/>
        <v>28</v>
      </c>
      <c r="W31" s="12">
        <f>+Tabla3[[#This Row],[Esquineros]]*2</f>
        <v>24</v>
      </c>
      <c r="X31" s="12">
        <f t="shared" si="30"/>
        <v>12</v>
      </c>
      <c r="Y31" s="13"/>
    </row>
    <row r="32" spans="1:25" ht="27.75" customHeight="1" x14ac:dyDescent="0.25">
      <c r="A32" s="6">
        <v>10</v>
      </c>
      <c r="B32" s="7" t="s">
        <v>23</v>
      </c>
      <c r="C32" s="7">
        <v>60</v>
      </c>
      <c r="D32" s="7" t="s">
        <v>26</v>
      </c>
      <c r="E32" s="8" t="str">
        <f t="shared" si="19"/>
        <v>10x60 Dado Corredizo 45</v>
      </c>
      <c r="F32" s="11">
        <v>6</v>
      </c>
      <c r="G32" s="11"/>
      <c r="H32" s="11"/>
      <c r="I32" s="11"/>
      <c r="J32" s="11">
        <f t="shared" si="20"/>
        <v>14</v>
      </c>
      <c r="K32" s="11">
        <f t="shared" si="28"/>
        <v>33</v>
      </c>
      <c r="L32" s="11">
        <f t="shared" si="29"/>
        <v>19</v>
      </c>
      <c r="M32" s="11"/>
      <c r="N32" s="11"/>
      <c r="O32" s="11">
        <f t="shared" si="21"/>
        <v>6</v>
      </c>
      <c r="P32" s="11">
        <f t="shared" si="22"/>
        <v>14</v>
      </c>
      <c r="Q32" s="11">
        <f t="shared" si="23"/>
        <v>108</v>
      </c>
      <c r="R32" s="11">
        <f t="shared" si="24"/>
        <v>284</v>
      </c>
      <c r="S32" s="11">
        <f t="shared" si="25"/>
        <v>48</v>
      </c>
      <c r="T32" s="11">
        <f t="shared" si="26"/>
        <v>38</v>
      </c>
      <c r="U32" s="11">
        <v>2</v>
      </c>
      <c r="V32" s="12">
        <f t="shared" si="27"/>
        <v>34</v>
      </c>
      <c r="W32" s="12">
        <f>+Tabla3[[#This Row],[Esquineros]]*2</f>
        <v>28</v>
      </c>
      <c r="X32" s="12">
        <f t="shared" si="30"/>
        <v>14</v>
      </c>
      <c r="Y32" s="13"/>
    </row>
    <row r="33" spans="1:25" ht="27.75" customHeight="1" x14ac:dyDescent="0.25">
      <c r="A33" s="6">
        <v>10</v>
      </c>
      <c r="B33" s="7" t="s">
        <v>23</v>
      </c>
      <c r="C33" s="7">
        <v>70</v>
      </c>
      <c r="D33" s="7" t="s">
        <v>26</v>
      </c>
      <c r="E33" s="8" t="str">
        <f t="shared" si="19"/>
        <v>10x70 Dado Corredizo 45</v>
      </c>
      <c r="F33" s="9">
        <v>7</v>
      </c>
      <c r="G33" s="11"/>
      <c r="H33" s="11"/>
      <c r="I33" s="11"/>
      <c r="J33" s="11">
        <f t="shared" si="20"/>
        <v>16</v>
      </c>
      <c r="K33" s="11">
        <f t="shared" si="28"/>
        <v>38</v>
      </c>
      <c r="L33" s="11">
        <f t="shared" si="29"/>
        <v>22</v>
      </c>
      <c r="M33" s="11"/>
      <c r="N33" s="11"/>
      <c r="O33" s="11">
        <f t="shared" si="21"/>
        <v>7</v>
      </c>
      <c r="P33" s="11">
        <f t="shared" si="22"/>
        <v>16</v>
      </c>
      <c r="Q33" s="11">
        <f t="shared" si="23"/>
        <v>126</v>
      </c>
      <c r="R33" s="11">
        <f t="shared" si="24"/>
        <v>328</v>
      </c>
      <c r="S33" s="11">
        <f t="shared" si="25"/>
        <v>56</v>
      </c>
      <c r="T33" s="11">
        <f t="shared" si="26"/>
        <v>44</v>
      </c>
      <c r="U33" s="9">
        <v>2</v>
      </c>
      <c r="V33" s="12">
        <f t="shared" si="27"/>
        <v>40</v>
      </c>
      <c r="W33" s="12">
        <f>+Tabla3[[#This Row],[Esquineros]]*2</f>
        <v>32</v>
      </c>
      <c r="X33" s="12">
        <f t="shared" si="30"/>
        <v>16</v>
      </c>
      <c r="Y33" s="13"/>
    </row>
    <row r="34" spans="1:25" ht="27.75" customHeight="1" x14ac:dyDescent="0.25">
      <c r="A34" s="6">
        <v>10</v>
      </c>
      <c r="B34" s="7" t="s">
        <v>23</v>
      </c>
      <c r="C34" s="7">
        <v>80</v>
      </c>
      <c r="D34" s="7" t="s">
        <v>26</v>
      </c>
      <c r="E34" s="8" t="str">
        <f t="shared" si="19"/>
        <v>10x80 Dado Corredizo 45</v>
      </c>
      <c r="F34" s="11">
        <v>8</v>
      </c>
      <c r="G34" s="11"/>
      <c r="H34" s="11"/>
      <c r="I34" s="11"/>
      <c r="J34" s="11">
        <f t="shared" si="20"/>
        <v>18</v>
      </c>
      <c r="K34" s="11">
        <f t="shared" si="28"/>
        <v>43</v>
      </c>
      <c r="L34" s="11">
        <f t="shared" si="29"/>
        <v>25</v>
      </c>
      <c r="M34" s="11"/>
      <c r="N34" s="11"/>
      <c r="O34" s="11">
        <f t="shared" si="21"/>
        <v>8</v>
      </c>
      <c r="P34" s="11">
        <f t="shared" si="22"/>
        <v>18</v>
      </c>
      <c r="Q34" s="11">
        <f t="shared" si="23"/>
        <v>144</v>
      </c>
      <c r="R34" s="11">
        <f t="shared" si="24"/>
        <v>372</v>
      </c>
      <c r="S34" s="11">
        <f t="shared" si="25"/>
        <v>64</v>
      </c>
      <c r="T34" s="11">
        <f t="shared" si="26"/>
        <v>50</v>
      </c>
      <c r="U34" s="11">
        <v>2</v>
      </c>
      <c r="V34" s="12">
        <f t="shared" si="27"/>
        <v>46</v>
      </c>
      <c r="W34" s="12">
        <f>+Tabla3[[#This Row],[Esquineros]]*2</f>
        <v>36</v>
      </c>
      <c r="X34" s="12">
        <f t="shared" si="30"/>
        <v>18</v>
      </c>
      <c r="Y34" s="13"/>
    </row>
    <row r="35" spans="1:25" ht="27.75" customHeight="1" x14ac:dyDescent="0.25">
      <c r="A35" s="6">
        <v>10</v>
      </c>
      <c r="B35" s="7" t="s">
        <v>23</v>
      </c>
      <c r="C35" s="7">
        <v>90</v>
      </c>
      <c r="D35" s="7" t="s">
        <v>26</v>
      </c>
      <c r="E35" s="8" t="str">
        <f t="shared" si="19"/>
        <v>10x90 Dado Corredizo 45</v>
      </c>
      <c r="F35" s="9">
        <v>9</v>
      </c>
      <c r="G35" s="11"/>
      <c r="H35" s="11"/>
      <c r="I35" s="11"/>
      <c r="J35" s="11">
        <f t="shared" si="20"/>
        <v>20</v>
      </c>
      <c r="K35" s="11">
        <f t="shared" si="28"/>
        <v>48</v>
      </c>
      <c r="L35" s="11">
        <f t="shared" si="29"/>
        <v>28</v>
      </c>
      <c r="M35" s="11"/>
      <c r="N35" s="11"/>
      <c r="O35" s="11">
        <f t="shared" si="21"/>
        <v>9</v>
      </c>
      <c r="P35" s="11">
        <f t="shared" si="22"/>
        <v>20</v>
      </c>
      <c r="Q35" s="11">
        <f t="shared" si="23"/>
        <v>162</v>
      </c>
      <c r="R35" s="11">
        <f t="shared" si="24"/>
        <v>416</v>
      </c>
      <c r="S35" s="11">
        <f t="shared" si="25"/>
        <v>72</v>
      </c>
      <c r="T35" s="11">
        <f t="shared" si="26"/>
        <v>56</v>
      </c>
      <c r="U35" s="9">
        <v>2</v>
      </c>
      <c r="V35" s="12">
        <f t="shared" si="27"/>
        <v>52</v>
      </c>
      <c r="W35" s="12">
        <f>+Tabla3[[#This Row],[Esquineros]]*2</f>
        <v>40</v>
      </c>
      <c r="X35" s="12">
        <f t="shared" si="30"/>
        <v>20</v>
      </c>
      <c r="Y35" s="13"/>
    </row>
    <row r="36" spans="1:25" ht="27.75" customHeight="1" x14ac:dyDescent="0.25">
      <c r="A36" s="14">
        <v>10</v>
      </c>
      <c r="B36" s="15" t="s">
        <v>23</v>
      </c>
      <c r="C36" s="15">
        <v>100</v>
      </c>
      <c r="D36" s="15" t="s">
        <v>26</v>
      </c>
      <c r="E36" s="16" t="str">
        <f t="shared" si="19"/>
        <v>10x100 Dado Corredizo 45</v>
      </c>
      <c r="F36" s="17">
        <v>10</v>
      </c>
      <c r="G36" s="17"/>
      <c r="H36" s="17"/>
      <c r="I36" s="17"/>
      <c r="J36" s="11">
        <f t="shared" si="20"/>
        <v>22</v>
      </c>
      <c r="K36" s="11">
        <f t="shared" si="28"/>
        <v>53</v>
      </c>
      <c r="L36" s="11">
        <f t="shared" si="29"/>
        <v>31</v>
      </c>
      <c r="M36" s="17"/>
      <c r="N36" s="17"/>
      <c r="O36" s="17">
        <f t="shared" si="21"/>
        <v>10</v>
      </c>
      <c r="P36" s="17">
        <f t="shared" si="22"/>
        <v>22</v>
      </c>
      <c r="Q36" s="11">
        <f t="shared" si="23"/>
        <v>180</v>
      </c>
      <c r="R36" s="11">
        <f t="shared" si="24"/>
        <v>460</v>
      </c>
      <c r="S36" s="17">
        <f t="shared" si="25"/>
        <v>80</v>
      </c>
      <c r="T36" s="17">
        <f t="shared" si="26"/>
        <v>62</v>
      </c>
      <c r="U36" s="17">
        <v>2</v>
      </c>
      <c r="V36" s="12">
        <f t="shared" si="27"/>
        <v>58</v>
      </c>
      <c r="W36" s="18">
        <f>+Tabla3[[#This Row],[Esquineros]]*2</f>
        <v>44</v>
      </c>
      <c r="X36" s="18">
        <f t="shared" si="30"/>
        <v>22</v>
      </c>
      <c r="Y36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T.Truss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BAYARDO JAVIER DAVILA ROJAS</dc:creator>
  <cp:lastModifiedBy>BAYARDO JAVIER DAVILA ROJAS</cp:lastModifiedBy>
  <dcterms:created xsi:type="dcterms:W3CDTF">2026-02-11T17:09:02Z</dcterms:created>
  <dcterms:modified xsi:type="dcterms:W3CDTF">2026-02-11T17:17:56Z</dcterms:modified>
</cp:coreProperties>
</file>